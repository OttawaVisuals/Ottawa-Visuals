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tawacity-my.sharepoint.com/personal/ben_dick_ottawa_ca/Documents/2-CMO/Open Data/Datasets/OC Transpo/OC Transpo Safety Indicators/"/>
    </mc:Choice>
  </mc:AlternateContent>
  <xr:revisionPtr revIDLastSave="0" documentId="8_{3010BEC1-682C-40DE-9680-DB0AA002292D}" xr6:coauthVersionLast="47" xr6:coauthVersionMax="47" xr10:uidLastSave="{00000000-0000-0000-0000-000000000000}"/>
  <bookViews>
    <workbookView xWindow="28680" yWindow="-120" windowWidth="29040" windowHeight="15720" activeTab="3" xr2:uid="{7B32BE34-3991-4CF6-B730-08C4E051D75E}"/>
  </bookViews>
  <sheets>
    <sheet name="Customer Injuries" sheetId="1" r:id="rId1"/>
    <sheet name="Employee Occurrences" sheetId="2" r:id="rId2"/>
    <sheet name="Preventable Collision Frequency" sheetId="3" r:id="rId3"/>
    <sheet name="Data Diction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<sst xmlns="http://schemas.openxmlformats.org/spreadsheetml/2006/main" count="205" uniqueCount="45">
  <si>
    <t>DateTable[Year]</t>
  </si>
  <si>
    <t>DateTable[Quarter]</t>
  </si>
  <si>
    <t>DateTable[MonthName]</t>
  </si>
  <si>
    <t>DateTable[Month]</t>
  </si>
  <si>
    <t>[MonthlyInjuryRate2024]</t>
  </si>
  <si>
    <t>[MonthyInjuryRate]</t>
  </si>
  <si>
    <t>Target Rate</t>
  </si>
  <si>
    <t>Applied filters:Type is Customer;Level 1-5 is greater than or equal to 3;Transit Related is yes</t>
  </si>
  <si>
    <t>Q1</t>
  </si>
  <si>
    <t>January</t>
  </si>
  <si>
    <t>February</t>
  </si>
  <si>
    <t>March</t>
  </si>
  <si>
    <t>Q2</t>
  </si>
  <si>
    <t>April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</si>
  <si>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</si>
  <si>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</si>
  <si>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</si>
  <si>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</si>
  <si>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</si>
  <si>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</si>
  <si>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</si>
  <si>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</si>
  <si>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</si>
  <si>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May</t>
  </si>
  <si>
    <t>Aptil</t>
  </si>
  <si>
    <t>[Count_Workplace_Incident_Report_SPLY]</t>
  </si>
  <si>
    <t>[CountWorkplace_Incident_Report]</t>
  </si>
  <si>
    <t>cr230_collisionstatistics[Year]</t>
  </si>
  <si>
    <t>[OC_YTD_PVCF]</t>
  </si>
  <si>
    <t>Target</t>
  </si>
  <si>
    <t>Source</t>
  </si>
  <si>
    <t>Field</t>
  </si>
  <si>
    <t>Description</t>
  </si>
  <si>
    <t>Preventable Collision Frequency</t>
  </si>
  <si>
    <t>Year in which data point is derived from</t>
  </si>
  <si>
    <t>Quarter in which data point is derived from</t>
  </si>
  <si>
    <t>Name of Month in which data point is derived from</t>
  </si>
  <si>
    <t>Month Number in which data point is derived from</t>
  </si>
  <si>
    <t>Year to date preventable collision frequency( Number of preventable collisions per 100,000 Km Driven</t>
  </si>
  <si>
    <t>Employee Occurrences</t>
  </si>
  <si>
    <t>Count of reported workplace occurences form the same period last year</t>
  </si>
  <si>
    <t>Count of reported workplace occurences form the current year</t>
  </si>
  <si>
    <t>Customer Injuries</t>
  </si>
  <si>
    <t>Number of level 3 or higher injuries per 1 million passengar trips for the 2024 calendar year</t>
  </si>
  <si>
    <t>Number of level 3 or higher injuries per 1 million passengar trips for the current 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</si>
</sst>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164" fontId="1" fillId="0" borderId="0" xfId="0" applyNumberFormat="1" applyFont="1"/>
    <xf numFmtId="164" fontId="1" fillId="2" borderId="0" xfId="0" applyNumberFormat="1" applyFont="1" applyFill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3" fillId="0" borderId="0" xfId="0" applyFont="1"/>
    <xf numFmtId="0" fontId="4" fillId="3" borderId="4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0" fontId="4" fillId="3" borderId="11" xfId="0" applyFont="1" applyFill="1" applyBorder="1"/>
    <xf numFmtId="0" fontId="4" fillId="3" borderId="9" xfId="0" applyFont="1" applyFill="1" applyBorder="1"/>
    <xf numFmtId="0" fontId="5" fillId="2" borderId="0" xfId="0" applyFont="1" applyFill="1"/>
    <xf numFmtId="0" fontId="5" fillId="0" borderId="0" xfId="0" applyFont="1"/>
    <xf numFmtId="0" fontId="1" fillId="2" borderId="12" xfId="0" applyFont="1" applyFill="1" applyBorder="1"/>
    <xf numFmtId="0" fontId="1" fillId="2" borderId="12" xfId="0" applyFont="1" applyFill="1" applyBorder="1" applyAlignment="1">
      <alignment horizontal="right"/>
    </xf>
    <xf numFmtId="0" fontId="1" fillId="0" borderId="0" xfId="0" applyFont="1" applyFill="1"/>
    <xf numFmtId="0" fontId="5" fillId="0" borderId="0" xfId="0" applyFont="1" applyFill="1"/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2486B-BEF2-4DB7-918B-0C7CD3C2CE88}" name="Table1" displayName="Table1" ref="A1:G28" totalsRowShown="0" headerRowDxfId="25" dataDxfId="24">
  <autoFilter ref="A1:G28" xr:uid="{1332486B-BEF2-4DB7-918B-0C7CD3C2CE88}"/>
  <tableColumns count="7">
    <tableColumn id="1" xr3:uid="{3DEFDF48-9410-491E-A58F-845728D67923}" name="DateTable[Year]" dataDxfId="23"/>
    <tableColumn id="2" xr3:uid="{297D3F6C-B28D-4C04-8CB7-C4B783F61DD9}" name="DateTable[Quarter]" dataDxfId="22"/>
    <tableColumn id="3" xr3:uid="{701905A7-DAC1-4806-A1DB-7DF51D3F9A95}" name="DateTable[MonthName]" dataDxfId="21"/>
    <tableColumn id="4" xr3:uid="{8B5F9AB8-9F18-435E-A738-0134A95D85C9}" name="DateTable[Month]" dataDxfId="20"/>
    <tableColumn id="5" xr3:uid="{D69A6BB6-788C-404C-A79D-A4944D19BA2D}" name="[MonthlyInjuryRate2024]" dataDxfId="19"/>
    <tableColumn id="6" xr3:uid="{7E89302D-F9B6-4537-8BAA-4D00864EE812}" name="[MonthyInjuryRate]" dataDxfId="18"/>
    <tableColumn id="7" xr3:uid="{C04185FB-AF84-4739-BB96-7B324B24E22A}" name="Target Rate" dataDxfId="1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0CD9B-1A11-4DD1-AB7F-CF5986BB8BAA}" name="EmpOcc" displayName="EmpOcc" ref="A1:F17" totalsRowShown="0" headerRowDxfId="16" dataDxfId="15">
  <autoFilter ref="A1:F17" xr:uid="{A350CD9B-1A11-4DD1-AB7F-CF5986BB8BAA}"/>
  <tableColumns count="6">
    <tableColumn id="1" xr3:uid="{A6C64C3B-A10C-4426-8A5A-149FE2CAE71A}" name="DateTable[Year]" dataDxfId="14"/>
    <tableColumn id="2" xr3:uid="{01E7BFB2-C191-4779-9D95-75C8C4A8D815}" name="DateTable[Quarter]" dataDxfId="13"/>
    <tableColumn id="3" xr3:uid="{5BB7102B-2F46-4AE0-B784-0B8B5697A6D2}" name="DateTable[MonthName]" dataDxfId="12"/>
    <tableColumn id="4" xr3:uid="{D1657CF8-8A82-4885-85D5-DD4975FB4989}" name="DateTable[Month]" dataDxfId="11">
      <calculatedColumnFormula>ROW() - ROW(EmpOcc[[#Headers],[DateTable'[Month']]])</calculatedColumnFormula>
    </tableColumn>
    <tableColumn id="5" xr3:uid="{3DBB9132-5B5F-468F-BED6-965615983B12}" name="[Count_Workplace_Incident_Report_SPLY]" dataDxfId="10"/>
    <tableColumn id="6" xr3:uid="{993FEFEC-5EB3-4D76-98E5-2964964F782B}" name="[CountWorkplace_Incident_Report]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AD835-EF4C-4515-851B-2FF9ACFE88E2}" name="PCF" displayName="PCF" ref="A1:G29" totalsRowShown="0" headerRowDxfId="8" dataDxfId="7">
  <autoFilter ref="A1:G29" xr:uid="{BDEAD835-EF4C-4515-851B-2FF9ACFE88E2}"/>
  <tableColumns count="7">
    <tableColumn id="1" xr3:uid="{1C15920D-69A6-4BC9-80D6-90B239522A6D}" name="DateTable[Year]" dataDxfId="6"/>
    <tableColumn id="2" xr3:uid="{16481BD3-92C5-4ED3-B765-8464D1C406B5}" name="DateTable[Quarter]" dataDxfId="5"/>
    <tableColumn id="3" xr3:uid="{F35498D6-5468-4F71-BD6C-19C16FD04224}" name="DateTable[MonthName]" dataDxfId="4"/>
    <tableColumn id="4" xr3:uid="{743C650E-954E-402E-A406-41A330E8DA6F}" name="DateTable[Month]" dataDxfId="3"/>
    <tableColumn id="5" xr3:uid="{7B5297B0-2A25-423A-984F-D95BBD1E5EB7}" name="cr230_collisionstatistics[Year]" dataDxfId="2"/>
    <tableColumn id="6" xr3:uid="{E06D9EBB-FF9A-4311-838D-7C4B58666C77}" name="[OC_YTD_PVCF]" dataDxfId="1"/>
    <tableColumn id="7" xr3:uid="{180C3FD8-58E7-45AC-87DB-4CC8DF28B4DD}" name="Targe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693C-531E-40AD-9881-49AA3AD6FF70}">
  <dimension ref="A1:I28"/>
  <sheetViews>
    <sheetView workbookViewId="0">
      <selection activeCell="I28" sqref="I28"/>
    </sheetView>
  </sheetViews>
  <sheetFormatPr defaultColWidth="8.81640625" defaultRowHeight="14.5" x14ac:dyDescent="0.35"/>
  <cols>
    <col min="1" max="1" width="33.453125" bestFit="1" customWidth="1"/>
    <col min="2" max="2" width="20.81640625" bestFit="1" customWidth="1"/>
    <col min="3" max="3" width="25" bestFit="1" customWidth="1"/>
    <col min="4" max="4" width="19.6328125" bestFit="1" customWidth="1"/>
    <col min="5" max="5" width="25.6328125" bestFit="1" customWidth="1"/>
    <col min="6" max="6" width="24.36328125" bestFit="1" customWidth="1"/>
    <col min="7" max="7" width="24.36328125" customWidth="1"/>
    <col min="9" max="9" width="80.6328125" bestFit="1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8" t="s">
        <v>7</v>
      </c>
    </row>
    <row r="2" spans="1:9" x14ac:dyDescent="0.35">
      <c r="A2" s="1">
        <v>2024</v>
      </c>
      <c r="B2" s="1" t="s">
        <v>8</v>
      </c>
      <c r="C2" s="1" t="s">
        <v>9</v>
      </c>
      <c r="D2" s="1">
        <v>1</v>
      </c>
      <c r="E2" s="10">
        <v>1.340033501</v>
      </c>
      <c r="F2" s="1"/>
      <c r="G2" s="2">
        <v>1.036</v>
      </c>
    </row>
    <row r="3" spans="1:9" x14ac:dyDescent="0.35">
      <c r="A3" s="2">
        <v>2024</v>
      </c>
      <c r="B3" s="2" t="s">
        <v>8</v>
      </c>
      <c r="C3" s="2" t="s">
        <v>10</v>
      </c>
      <c r="D3" s="2">
        <v>2</v>
      </c>
      <c r="E3" s="9">
        <v>0.82918739600000002</v>
      </c>
      <c r="F3" s="2"/>
      <c r="G3" s="2">
        <v>1.036</v>
      </c>
    </row>
    <row r="4" spans="1:9" x14ac:dyDescent="0.35">
      <c r="A4" s="1">
        <v>2024</v>
      </c>
      <c r="B4" s="1" t="s">
        <v>8</v>
      </c>
      <c r="C4" s="1" t="s">
        <v>11</v>
      </c>
      <c r="D4" s="1">
        <v>3</v>
      </c>
      <c r="E4" s="10">
        <v>0.32467532500000001</v>
      </c>
      <c r="F4" s="1"/>
      <c r="G4" s="2">
        <v>1.036</v>
      </c>
    </row>
    <row r="5" spans="1:9" x14ac:dyDescent="0.35">
      <c r="A5" s="2">
        <v>2024</v>
      </c>
      <c r="B5" s="2" t="s">
        <v>12</v>
      </c>
      <c r="C5" s="2" t="s">
        <v>13</v>
      </c>
      <c r="D5" s="2">
        <v>4</v>
      </c>
      <c r="E5" s="9">
        <v>0.51546391800000002</v>
      </c>
      <c r="F5" s="2"/>
      <c r="G5" s="2">
        <v>1.036</v>
      </c>
    </row>
    <row r="6" spans="1:9" x14ac:dyDescent="0.35">
      <c r="A6" s="1">
        <v>2024</v>
      </c>
      <c r="B6" s="1" t="s">
        <v>12</v>
      </c>
      <c r="C6" s="1" t="s">
        <v>14</v>
      </c>
      <c r="D6" s="1">
        <v>6</v>
      </c>
      <c r="E6" s="10">
        <v>0.42105263199999998</v>
      </c>
      <c r="F6" s="1"/>
      <c r="G6" s="2">
        <v>1.036</v>
      </c>
    </row>
    <row r="7" spans="1:9" x14ac:dyDescent="0.35">
      <c r="A7" s="2">
        <v>2024</v>
      </c>
      <c r="B7" s="2" t="s">
        <v>15</v>
      </c>
      <c r="C7" s="2" t="s">
        <v>16</v>
      </c>
      <c r="D7" s="2">
        <v>7</v>
      </c>
      <c r="E7" s="9">
        <v>0.69605568399999995</v>
      </c>
      <c r="F7" s="2"/>
      <c r="G7" s="2">
        <v>1.036</v>
      </c>
    </row>
    <row r="8" spans="1:9" x14ac:dyDescent="0.35">
      <c r="A8" s="1">
        <v>2024</v>
      </c>
      <c r="B8" s="1" t="s">
        <v>15</v>
      </c>
      <c r="C8" s="1" t="s">
        <v>17</v>
      </c>
      <c r="D8" s="1">
        <v>8</v>
      </c>
      <c r="E8" s="10">
        <v>0.26595744700000001</v>
      </c>
      <c r="F8" s="1"/>
      <c r="G8" s="2">
        <v>1.036</v>
      </c>
    </row>
    <row r="9" spans="1:9" x14ac:dyDescent="0.35">
      <c r="A9" s="2">
        <v>2024</v>
      </c>
      <c r="B9" s="2" t="s">
        <v>15</v>
      </c>
      <c r="C9" s="2" t="s">
        <v>18</v>
      </c>
      <c r="D9" s="2">
        <v>9</v>
      </c>
      <c r="E9" s="9">
        <v>0.42979942700000001</v>
      </c>
      <c r="F9" s="2"/>
      <c r="G9" s="2">
        <v>1.036</v>
      </c>
    </row>
    <row r="10" spans="1:9" x14ac:dyDescent="0.35">
      <c r="A10" s="1">
        <v>2024</v>
      </c>
      <c r="B10" s="1" t="s">
        <v>19</v>
      </c>
      <c r="C10" s="1" t="s">
        <v>20</v>
      </c>
      <c r="D10" s="1">
        <v>10</v>
      </c>
      <c r="E10" s="10">
        <v>0.59880239499999999</v>
      </c>
      <c r="F10" s="1"/>
      <c r="G10" s="2">
        <v>1.036</v>
      </c>
    </row>
    <row r="11" spans="1:9" x14ac:dyDescent="0.35">
      <c r="A11" s="2">
        <v>2024</v>
      </c>
      <c r="B11" s="2" t="s">
        <v>19</v>
      </c>
      <c r="C11" s="2" t="s">
        <v>21</v>
      </c>
      <c r="D11" s="2">
        <v>11</v>
      </c>
      <c r="E11" s="9">
        <v>0.449101796</v>
      </c>
      <c r="F11" s="2"/>
      <c r="G11" s="2">
        <v>1.036</v>
      </c>
    </row>
    <row r="12" spans="1:9" x14ac:dyDescent="0.35">
      <c r="A12" s="1">
        <v>2024</v>
      </c>
      <c r="B12" s="1" t="s">
        <v>19</v>
      </c>
      <c r="C12" s="1" t="s">
        <v>22</v>
      </c>
      <c r="D12" s="1">
        <v>12</v>
      </c>
      <c r="E12" s="10">
        <v>0.71428571399999996</v>
      </c>
      <c r="F12" s="1"/>
      <c r="G12" s="2">
        <v>1.036</v>
      </c>
    </row>
    <row r="13" spans="1:9" x14ac:dyDescent="0.35">
      <c r="A13" s="2">
        <v>2025</v>
      </c>
      <c r="B13" s="2" t="s">
        <v>8</v>
      </c>
      <c r="C13" s="2" t="s">
        <v>9</v>
      </c>
      <c r="D13" s="2">
        <v>1</v>
      </c>
      <c r="E13" s="2"/>
      <c r="F13" s="9">
        <v>1.076923077</v>
      </c>
      <c r="G13" s="2">
        <v>1.036</v>
      </c>
    </row>
    <row r="14" spans="1:9" x14ac:dyDescent="0.35">
      <c r="A14" s="1">
        <v>2025</v>
      </c>
      <c r="B14" s="1" t="s">
        <v>8</v>
      </c>
      <c r="C14" s="1" t="s">
        <v>10</v>
      </c>
      <c r="D14" s="1">
        <v>2</v>
      </c>
      <c r="E14" s="1"/>
      <c r="F14" s="10">
        <v>0.67796610199999996</v>
      </c>
      <c r="G14" s="2">
        <v>1.036</v>
      </c>
    </row>
    <row r="15" spans="1:9" x14ac:dyDescent="0.35">
      <c r="A15" s="2">
        <v>2025</v>
      </c>
      <c r="B15" s="2" t="s">
        <v>8</v>
      </c>
      <c r="C15" s="2" t="s">
        <v>11</v>
      </c>
      <c r="D15" s="2">
        <v>3</v>
      </c>
      <c r="E15" s="2"/>
      <c r="F15" s="9">
        <v>1.212121212</v>
      </c>
      <c r="G15" s="2">
        <v>1.036</v>
      </c>
    </row>
    <row r="16" spans="1:9" x14ac:dyDescent="0.35">
      <c r="A16" s="1">
        <v>2025</v>
      </c>
      <c r="B16" s="1" t="s">
        <v>12</v>
      </c>
      <c r="C16" s="1" t="s">
        <v>13</v>
      </c>
      <c r="D16" s="1">
        <v>4</v>
      </c>
      <c r="E16" s="1"/>
      <c r="F16" s="10">
        <v>0.84745762700000005</v>
      </c>
      <c r="G16" s="2">
        <v>1.036</v>
      </c>
    </row>
    <row r="17" spans="1:7" x14ac:dyDescent="0.35">
      <c r="A17" s="2">
        <v>2025</v>
      </c>
      <c r="B17" s="2" t="s">
        <v>12</v>
      </c>
      <c r="C17" s="2" t="s">
        <v>23</v>
      </c>
      <c r="D17" s="2">
        <v>5</v>
      </c>
      <c r="E17" s="2"/>
      <c r="F17" s="2">
        <v>1.6</v>
      </c>
      <c r="G17" s="2">
        <v>1.036</v>
      </c>
    </row>
    <row r="18" spans="1:7" x14ac:dyDescent="0.35">
      <c r="A18" s="2">
        <v>2025</v>
      </c>
      <c r="B18" s="2" t="s">
        <v>12</v>
      </c>
      <c r="C18" s="2" t="s">
        <v>14</v>
      </c>
      <c r="D18" s="2">
        <v>6</v>
      </c>
      <c r="E18" s="2"/>
      <c r="F18" s="2">
        <v>0.96199999999999997</v>
      </c>
      <c r="G18" s="2">
        <v>1.036</v>
      </c>
    </row>
    <row r="19" spans="1:7" x14ac:dyDescent="0.35">
      <c r="A19" s="2">
        <v>2025</v>
      </c>
      <c r="B19" s="2" t="s">
        <v>15</v>
      </c>
      <c r="C19" s="2" t="s">
        <v>16</v>
      </c>
      <c r="D19" s="2">
        <v>7</v>
      </c>
      <c r="E19" s="2"/>
      <c r="F19" s="2">
        <v>1.111</v>
      </c>
      <c r="G19" s="2">
        <v>1.036</v>
      </c>
    </row>
    <row r="20" spans="1:7" x14ac:dyDescent="0.35">
      <c r="A20" s="2">
        <v>2025</v>
      </c>
      <c r="B20" s="2" t="s">
        <v>15</v>
      </c>
      <c r="C20" s="2" t="s">
        <v>17</v>
      </c>
      <c r="D20" s="2">
        <v>8</v>
      </c>
      <c r="E20" s="2"/>
      <c r="F20" s="2">
        <v>1.389</v>
      </c>
      <c r="G20" s="2">
        <v>1.036</v>
      </c>
    </row>
    <row r="21" spans="1:7" x14ac:dyDescent="0.35">
      <c r="A21" s="2">
        <v>2025</v>
      </c>
      <c r="B21" s="2" t="s">
        <v>15</v>
      </c>
      <c r="C21" s="2" t="s">
        <v>18</v>
      </c>
      <c r="D21" s="2">
        <v>9</v>
      </c>
      <c r="E21" s="2"/>
      <c r="F21" s="2">
        <v>0.81100000000000005</v>
      </c>
      <c r="G21" s="2">
        <v>1.036</v>
      </c>
    </row>
    <row r="22" spans="1:7" x14ac:dyDescent="0.35">
      <c r="A22" s="2">
        <v>2025</v>
      </c>
      <c r="B22" s="2" t="s">
        <v>19</v>
      </c>
      <c r="C22" s="2" t="s">
        <v>20</v>
      </c>
      <c r="D22" s="2">
        <v>10</v>
      </c>
      <c r="E22" s="2"/>
      <c r="F22" s="2">
        <v>0.89700000000000002</v>
      </c>
      <c r="G22" s="2">
        <v>1.036</v>
      </c>
    </row>
    <row r="23" spans="1:7" x14ac:dyDescent="0.35">
      <c r="A23" s="2">
        <v>2025</v>
      </c>
      <c r="B23" s="2" t="s">
        <v>19</v>
      </c>
      <c r="C23" s="2" t="s">
        <v>21</v>
      </c>
      <c r="D23" s="2">
        <v>11</v>
      </c>
      <c r="E23" s="2"/>
      <c r="F23" s="2">
        <v>0.88200000000000001</v>
      </c>
      <c r="G23" s="2">
        <v>1.036</v>
      </c>
    </row>
    <row r="24" spans="1:7" x14ac:dyDescent="0.35">
      <c r="A24" s="2">
        <v>2025</v>
      </c>
      <c r="B24" s="2" t="s">
        <v>19</v>
      </c>
      <c r="C24" s="2" t="s">
        <v>22</v>
      </c>
      <c r="D24" s="2">
        <v>12</v>
      </c>
      <c r="E24" s="2"/>
      <c r="F24" s="2">
        <v>1.2729999999999999</v>
      </c>
      <c r="G24" s="2">
        <v>1.036</v>
      </c>
    </row>
    <row r="25" spans="1:7" x14ac:dyDescent="0.35">
      <c r="A25" s="2">
        <v>2026</v>
      </c>
      <c r="B25" s="2" t="s">
        <v>8</v>
      </c>
      <c r="C25" s="2" t="s">
        <v>9</v>
      </c>
      <c r="D25" s="2">
        <v>1</v>
      </c>
      <c r="E25" s="2"/>
      <c r="F25" s="2">
        <v>0.32800000000000001</v>
      </c>
      <c r="G25" s="2">
        <v>1.036</v>
      </c>
    </row>
    <row r="26" spans="1:7" x14ac:dyDescent="0.35">
      <c r="A26" s="2">
        <v>2026</v>
      </c>
      <c r="B26" s="2" t="s">
        <v>8</v>
      </c>
      <c r="C26" s="2" t="s">
        <v>10</v>
      </c>
      <c r="D26" s="2">
        <v>2</v>
      </c>
      <c r="E26" s="2"/>
      <c r="F26" s="2">
        <v>0.55200000000000005</v>
      </c>
      <c r="G26" s="2">
        <v>1.036</v>
      </c>
    </row>
    <row r="27" spans="1:7" x14ac:dyDescent="0.35">
      <c r="A27" s="2">
        <v>2026</v>
      </c>
      <c r="B27" s="2" t="s">
        <v>8</v>
      </c>
      <c r="C27" s="2" t="s">
        <v>11</v>
      </c>
      <c r="D27" s="2">
        <v>3</v>
      </c>
      <c r="E27" s="2"/>
      <c r="F27" s="2">
        <v>1.5229999999999999</v>
      </c>
      <c r="G27" s="2">
        <v>1.036</v>
      </c>
    </row>
    <row r="28" spans="1:7" x14ac:dyDescent="0.35">
      <c r="A28" s="2">
        <v>2026</v>
      </c>
      <c r="B28" s="2" t="s">
        <v>12</v>
      </c>
      <c r="C28" s="2" t="s">
        <v>24</v>
      </c>
      <c r="D28" s="2">
        <v>4</v>
      </c>
      <c r="E28" s="2"/>
      <c r="F28" s="2">
        <v>2.1389999999999998</v>
      </c>
      <c r="G28" s="2">
        <v>1.036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420-22F4-4AA7-96CC-6CBDDA323AA7}">
  <dimension ref="A1:F17"/>
  <sheetViews>
    <sheetView workbookViewId="0">
      <selection activeCell="E18" sqref="E18"/>
    </sheetView>
  </sheetViews>
  <sheetFormatPr defaultColWidth="8.81640625" defaultRowHeight="14.5" x14ac:dyDescent="0.35"/>
  <cols>
    <col min="1" max="1" width="17.81640625" bestFit="1" customWidth="1"/>
    <col min="2" max="2" width="20.81640625" bestFit="1" customWidth="1"/>
    <col min="3" max="3" width="25" bestFit="1" customWidth="1"/>
    <col min="4" max="4" width="19.6328125" bestFit="1" customWidth="1"/>
    <col min="5" max="5" width="40" bestFit="1" customWidth="1"/>
    <col min="6" max="6" width="33.453125" bestFit="1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25</v>
      </c>
      <c r="F1" s="6" t="s">
        <v>26</v>
      </c>
    </row>
    <row r="2" spans="1:6" x14ac:dyDescent="0.35">
      <c r="A2" s="1">
        <v>2025</v>
      </c>
      <c r="B2" s="1" t="s">
        <v>8</v>
      </c>
      <c r="C2" s="1" t="s">
        <v>9</v>
      </c>
      <c r="D2" s="1">
        <f>ROW() - ROW(EmpOcc[[#Headers],[DateTable'[Month']]])</f>
        <v>1</v>
      </c>
      <c r="E2" s="1">
        <v>90</v>
      </c>
      <c r="F2" s="1">
        <v>71</v>
      </c>
    </row>
    <row r="3" spans="1:6" x14ac:dyDescent="0.35">
      <c r="A3" s="2">
        <v>2025</v>
      </c>
      <c r="B3" s="2" t="s">
        <v>8</v>
      </c>
      <c r="C3" s="2" t="s">
        <v>10</v>
      </c>
      <c r="D3" s="2">
        <f>ROW() - ROW(EmpOcc[[#Headers],[DateTable'[Month']]])</f>
        <v>2</v>
      </c>
      <c r="E3" s="2">
        <v>50</v>
      </c>
      <c r="F3" s="2">
        <v>96</v>
      </c>
    </row>
    <row r="4" spans="1:6" x14ac:dyDescent="0.35">
      <c r="A4" s="1">
        <v>2025</v>
      </c>
      <c r="B4" s="1" t="s">
        <v>8</v>
      </c>
      <c r="C4" s="1" t="s">
        <v>11</v>
      </c>
      <c r="D4" s="1">
        <f>ROW() - ROW(EmpOcc[[#Headers],[DateTable'[Month']]])</f>
        <v>3</v>
      </c>
      <c r="E4" s="1">
        <v>60</v>
      </c>
      <c r="F4" s="1">
        <v>72</v>
      </c>
    </row>
    <row r="5" spans="1:6" x14ac:dyDescent="0.35">
      <c r="A5" s="2">
        <v>2025</v>
      </c>
      <c r="B5" s="2" t="s">
        <v>12</v>
      </c>
      <c r="C5" s="2" t="s">
        <v>13</v>
      </c>
      <c r="D5" s="2">
        <f>ROW() - ROW(EmpOcc[[#Headers],[DateTable'[Month']]])</f>
        <v>4</v>
      </c>
      <c r="E5" s="2">
        <v>73</v>
      </c>
      <c r="F5" s="2">
        <v>47</v>
      </c>
    </row>
    <row r="6" spans="1:6" x14ac:dyDescent="0.35">
      <c r="A6" s="1">
        <v>2025</v>
      </c>
      <c r="B6" s="1" t="s">
        <v>12</v>
      </c>
      <c r="C6" s="1" t="s">
        <v>23</v>
      </c>
      <c r="D6" s="1">
        <f>ROW() - ROW(EmpOcc[[#Headers],[DateTable'[Month']]])</f>
        <v>5</v>
      </c>
      <c r="E6" s="1">
        <v>60</v>
      </c>
      <c r="F6" s="1">
        <v>59</v>
      </c>
    </row>
    <row r="7" spans="1:6" x14ac:dyDescent="0.35">
      <c r="A7" s="2">
        <v>2025</v>
      </c>
      <c r="B7" s="2" t="s">
        <v>12</v>
      </c>
      <c r="C7" s="2" t="s">
        <v>14</v>
      </c>
      <c r="D7" s="2">
        <f>ROW() - ROW(EmpOcc[[#Headers],[DateTable'[Month']]])</f>
        <v>6</v>
      </c>
      <c r="E7" s="2">
        <v>67</v>
      </c>
      <c r="F7" s="2">
        <v>69</v>
      </c>
    </row>
    <row r="8" spans="1:6" x14ac:dyDescent="0.35">
      <c r="A8" s="1">
        <v>2025</v>
      </c>
      <c r="B8" s="1" t="s">
        <v>15</v>
      </c>
      <c r="C8" s="1" t="s">
        <v>16</v>
      </c>
      <c r="D8" s="1">
        <f>ROW() - ROW(EmpOcc[[#Headers],[DateTable'[Month']]])</f>
        <v>7</v>
      </c>
      <c r="E8" s="1">
        <v>61</v>
      </c>
      <c r="F8" s="1">
        <v>49</v>
      </c>
    </row>
    <row r="9" spans="1:6" x14ac:dyDescent="0.35">
      <c r="A9" s="2">
        <v>2025</v>
      </c>
      <c r="B9" s="2" t="s">
        <v>15</v>
      </c>
      <c r="C9" s="2" t="s">
        <v>17</v>
      </c>
      <c r="D9" s="2">
        <f>ROW() - ROW(EmpOcc[[#Headers],[DateTable'[Month']]])</f>
        <v>8</v>
      </c>
      <c r="E9" s="2">
        <v>58</v>
      </c>
      <c r="F9" s="2">
        <v>71</v>
      </c>
    </row>
    <row r="10" spans="1:6" x14ac:dyDescent="0.35">
      <c r="A10" s="1">
        <v>2025</v>
      </c>
      <c r="B10" s="1" t="s">
        <v>15</v>
      </c>
      <c r="C10" s="1" t="s">
        <v>18</v>
      </c>
      <c r="D10" s="1">
        <f>ROW() - ROW(EmpOcc[[#Headers],[DateTable'[Month']]])</f>
        <v>9</v>
      </c>
      <c r="E10" s="1">
        <v>65</v>
      </c>
      <c r="F10" s="1">
        <v>68</v>
      </c>
    </row>
    <row r="11" spans="1:6" x14ac:dyDescent="0.35">
      <c r="A11" s="2">
        <v>2025</v>
      </c>
      <c r="B11" s="2" t="s">
        <v>19</v>
      </c>
      <c r="C11" s="2" t="s">
        <v>20</v>
      </c>
      <c r="D11" s="2">
        <f>ROW() - ROW(EmpOcc[[#Headers],[DateTable'[Month']]])</f>
        <v>10</v>
      </c>
      <c r="E11" s="2">
        <v>57</v>
      </c>
      <c r="F11" s="2">
        <v>75</v>
      </c>
    </row>
    <row r="12" spans="1:6" x14ac:dyDescent="0.35">
      <c r="A12" s="2">
        <v>2025</v>
      </c>
      <c r="B12" s="2" t="s">
        <v>19</v>
      </c>
      <c r="C12" s="2" t="s">
        <v>21</v>
      </c>
      <c r="D12" s="2">
        <f>ROW() - ROW(EmpOcc[[#Headers],[DateTable'[Month']]])</f>
        <v>11</v>
      </c>
      <c r="E12" s="2">
        <v>69</v>
      </c>
      <c r="F12" s="2">
        <v>81</v>
      </c>
    </row>
    <row r="13" spans="1:6" x14ac:dyDescent="0.35">
      <c r="A13" s="2">
        <v>2025</v>
      </c>
      <c r="B13" s="2" t="s">
        <v>19</v>
      </c>
      <c r="C13" s="2" t="s">
        <v>22</v>
      </c>
      <c r="D13" s="2">
        <f>ROW() - ROW(EmpOcc[[#Headers],[DateTable'[Month']]])</f>
        <v>12</v>
      </c>
      <c r="E13" s="2">
        <v>61</v>
      </c>
      <c r="F13" s="2">
        <v>53</v>
      </c>
    </row>
    <row r="14" spans="1:6" x14ac:dyDescent="0.35">
      <c r="A14" s="2">
        <v>2026</v>
      </c>
      <c r="B14" s="2" t="s">
        <v>8</v>
      </c>
      <c r="C14" s="2" t="s">
        <v>9</v>
      </c>
      <c r="D14" s="2">
        <v>1</v>
      </c>
      <c r="E14" s="2">
        <v>71</v>
      </c>
      <c r="F14" s="2">
        <v>77</v>
      </c>
    </row>
    <row r="15" spans="1:6" x14ac:dyDescent="0.35">
      <c r="A15" s="2">
        <v>2026</v>
      </c>
      <c r="B15" s="2" t="s">
        <v>8</v>
      </c>
      <c r="C15" s="2" t="s">
        <v>10</v>
      </c>
      <c r="D15" s="2">
        <v>2</v>
      </c>
      <c r="E15" s="2">
        <v>96</v>
      </c>
      <c r="F15" s="2">
        <v>61</v>
      </c>
    </row>
    <row r="16" spans="1:6" x14ac:dyDescent="0.35">
      <c r="A16" s="2">
        <v>2026</v>
      </c>
      <c r="B16" s="2" t="s">
        <v>8</v>
      </c>
      <c r="C16" s="2" t="s">
        <v>11</v>
      </c>
      <c r="D16" s="2">
        <v>3</v>
      </c>
      <c r="E16" s="2">
        <v>72</v>
      </c>
      <c r="F16" s="2">
        <v>56</v>
      </c>
    </row>
    <row r="17" spans="1:6" x14ac:dyDescent="0.35">
      <c r="A17" s="2">
        <v>2026</v>
      </c>
      <c r="B17" s="2" t="s">
        <v>12</v>
      </c>
      <c r="C17" s="2" t="s">
        <v>13</v>
      </c>
      <c r="D17" s="2">
        <v>4</v>
      </c>
      <c r="E17" s="2">
        <v>47</v>
      </c>
      <c r="F17" s="2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9E4F-8548-44BE-8E02-8EAE56549A97}">
  <dimension ref="A1:G29"/>
  <sheetViews>
    <sheetView workbookViewId="0">
      <selection activeCell="F15" sqref="F15"/>
    </sheetView>
  </sheetViews>
  <sheetFormatPr defaultColWidth="8.81640625" defaultRowHeight="14.5" x14ac:dyDescent="0.35"/>
  <cols>
    <col min="1" max="1" width="17.81640625" bestFit="1" customWidth="1"/>
    <col min="2" max="2" width="20.81640625" bestFit="1" customWidth="1"/>
    <col min="3" max="3" width="25" bestFit="1" customWidth="1"/>
    <col min="4" max="4" width="19.6328125" bestFit="1" customWidth="1"/>
    <col min="5" max="5" width="30.6328125" style="5" bestFit="1" customWidth="1"/>
    <col min="6" max="6" width="24.81640625" bestFit="1" customWidth="1"/>
    <col min="7" max="7" width="24.81640625" customWidth="1"/>
  </cols>
  <sheetData>
    <row r="1" spans="1:7" x14ac:dyDescent="0.35">
      <c r="A1" s="6" t="s">
        <v>0</v>
      </c>
      <c r="B1" s="6" t="s">
        <v>1</v>
      </c>
      <c r="C1" s="6" t="s">
        <v>2</v>
      </c>
      <c r="D1" s="6" t="s">
        <v>3</v>
      </c>
      <c r="E1" s="7" t="s">
        <v>27</v>
      </c>
      <c r="F1" s="6" t="s">
        <v>28</v>
      </c>
      <c r="G1" s="6" t="s">
        <v>29</v>
      </c>
    </row>
    <row r="2" spans="1:7" x14ac:dyDescent="0.35">
      <c r="A2" s="1">
        <v>2024</v>
      </c>
      <c r="B2" s="1" t="s">
        <v>8</v>
      </c>
      <c r="C2" s="1" t="s">
        <v>9</v>
      </c>
      <c r="D2" s="1">
        <v>1</v>
      </c>
      <c r="E2" s="3">
        <v>2024</v>
      </c>
      <c r="F2" s="1">
        <v>1.1870000000000001</v>
      </c>
      <c r="G2" s="2">
        <v>0.69</v>
      </c>
    </row>
    <row r="3" spans="1:7" x14ac:dyDescent="0.35">
      <c r="A3" s="2">
        <v>2024</v>
      </c>
      <c r="B3" s="2" t="s">
        <v>8</v>
      </c>
      <c r="C3" s="2" t="s">
        <v>10</v>
      </c>
      <c r="D3" s="2">
        <v>2</v>
      </c>
      <c r="E3" s="4">
        <v>2024</v>
      </c>
      <c r="F3" s="2">
        <v>1.131</v>
      </c>
      <c r="G3" s="2">
        <v>0.69</v>
      </c>
    </row>
    <row r="4" spans="1:7" x14ac:dyDescent="0.35">
      <c r="A4" s="1">
        <v>2024</v>
      </c>
      <c r="B4" s="1" t="s">
        <v>8</v>
      </c>
      <c r="C4" s="1" t="s">
        <v>11</v>
      </c>
      <c r="D4" s="1">
        <v>3</v>
      </c>
      <c r="E4" s="3">
        <v>2024</v>
      </c>
      <c r="F4" s="1">
        <v>0.97099999999999997</v>
      </c>
      <c r="G4" s="2">
        <v>0.69</v>
      </c>
    </row>
    <row r="5" spans="1:7" x14ac:dyDescent="0.35">
      <c r="A5" s="2">
        <v>2024</v>
      </c>
      <c r="B5" s="2" t="s">
        <v>12</v>
      </c>
      <c r="C5" s="2" t="s">
        <v>13</v>
      </c>
      <c r="D5" s="2">
        <v>4</v>
      </c>
      <c r="E5" s="4">
        <v>2024</v>
      </c>
      <c r="F5" s="2">
        <v>0.99199999999999999</v>
      </c>
      <c r="G5" s="2">
        <v>0.69</v>
      </c>
    </row>
    <row r="6" spans="1:7" x14ac:dyDescent="0.35">
      <c r="A6" s="1">
        <v>2024</v>
      </c>
      <c r="B6" s="1" t="s">
        <v>12</v>
      </c>
      <c r="C6" s="1" t="s">
        <v>23</v>
      </c>
      <c r="D6" s="1">
        <v>5</v>
      </c>
      <c r="E6" s="3">
        <v>2024</v>
      </c>
      <c r="F6" s="1">
        <v>1.0569999999999999</v>
      </c>
      <c r="G6" s="2">
        <v>0.69</v>
      </c>
    </row>
    <row r="7" spans="1:7" x14ac:dyDescent="0.35">
      <c r="A7" s="2">
        <v>2024</v>
      </c>
      <c r="B7" s="2" t="s">
        <v>12</v>
      </c>
      <c r="C7" s="2" t="s">
        <v>14</v>
      </c>
      <c r="D7" s="2">
        <v>6</v>
      </c>
      <c r="E7" s="4">
        <v>2024</v>
      </c>
      <c r="F7" s="2">
        <v>1.085</v>
      </c>
      <c r="G7" s="2">
        <v>0.69</v>
      </c>
    </row>
    <row r="8" spans="1:7" x14ac:dyDescent="0.35">
      <c r="A8" s="1">
        <v>2024</v>
      </c>
      <c r="B8" s="1" t="s">
        <v>15</v>
      </c>
      <c r="C8" s="1" t="s">
        <v>16</v>
      </c>
      <c r="D8" s="1">
        <v>7</v>
      </c>
      <c r="E8" s="3">
        <v>2024</v>
      </c>
      <c r="F8" s="1">
        <v>1.0900000000000001</v>
      </c>
      <c r="G8" s="2">
        <v>0.69</v>
      </c>
    </row>
    <row r="9" spans="1:7" x14ac:dyDescent="0.35">
      <c r="A9" s="2">
        <v>2024</v>
      </c>
      <c r="B9" s="2" t="s">
        <v>15</v>
      </c>
      <c r="C9" s="2" t="s">
        <v>17</v>
      </c>
      <c r="D9" s="2">
        <v>8</v>
      </c>
      <c r="E9" s="4">
        <v>2024</v>
      </c>
      <c r="F9" s="2">
        <v>1.1220000000000001</v>
      </c>
      <c r="G9" s="2">
        <v>0.69</v>
      </c>
    </row>
    <row r="10" spans="1:7" x14ac:dyDescent="0.35">
      <c r="A10" s="1">
        <v>2024</v>
      </c>
      <c r="B10" s="1" t="s">
        <v>15</v>
      </c>
      <c r="C10" s="1" t="s">
        <v>18</v>
      </c>
      <c r="D10" s="1">
        <v>9</v>
      </c>
      <c r="E10" s="3">
        <v>2024</v>
      </c>
      <c r="F10" s="1">
        <v>1.143</v>
      </c>
      <c r="G10" s="2">
        <v>0.69</v>
      </c>
    </row>
    <row r="11" spans="1:7" x14ac:dyDescent="0.35">
      <c r="A11" s="2">
        <v>2024</v>
      </c>
      <c r="B11" s="2" t="s">
        <v>19</v>
      </c>
      <c r="C11" s="2" t="s">
        <v>20</v>
      </c>
      <c r="D11" s="2">
        <v>10</v>
      </c>
      <c r="E11" s="4">
        <v>2024</v>
      </c>
      <c r="F11" s="2">
        <v>1.1579999999999999</v>
      </c>
      <c r="G11" s="2">
        <v>0.69</v>
      </c>
    </row>
    <row r="12" spans="1:7" x14ac:dyDescent="0.35">
      <c r="A12" s="1">
        <v>2024</v>
      </c>
      <c r="B12" s="1" t="s">
        <v>19</v>
      </c>
      <c r="C12" s="1" t="s">
        <v>21</v>
      </c>
      <c r="D12" s="1">
        <v>11</v>
      </c>
      <c r="E12" s="3">
        <v>2024</v>
      </c>
      <c r="F12" s="1">
        <v>1.139</v>
      </c>
      <c r="G12" s="2">
        <v>0.69</v>
      </c>
    </row>
    <row r="13" spans="1:7" x14ac:dyDescent="0.35">
      <c r="A13" s="2">
        <v>2024</v>
      </c>
      <c r="B13" s="2" t="s">
        <v>19</v>
      </c>
      <c r="C13" s="2" t="s">
        <v>22</v>
      </c>
      <c r="D13" s="2">
        <v>12</v>
      </c>
      <c r="E13" s="4">
        <v>2024</v>
      </c>
      <c r="F13" s="24">
        <v>1.139</v>
      </c>
      <c r="G13" s="2">
        <v>0.69</v>
      </c>
    </row>
    <row r="14" spans="1:7" x14ac:dyDescent="0.35">
      <c r="A14" s="1">
        <v>2025</v>
      </c>
      <c r="B14" s="1" t="s">
        <v>8</v>
      </c>
      <c r="C14" s="1" t="s">
        <v>9</v>
      </c>
      <c r="D14" s="1">
        <v>1</v>
      </c>
      <c r="E14" s="3">
        <v>2025</v>
      </c>
      <c r="F14" s="25">
        <v>0.94399999999999995</v>
      </c>
      <c r="G14" s="2">
        <v>0.69</v>
      </c>
    </row>
    <row r="15" spans="1:7" x14ac:dyDescent="0.35">
      <c r="A15" s="2">
        <v>2025</v>
      </c>
      <c r="B15" s="2" t="s">
        <v>8</v>
      </c>
      <c r="C15" s="2" t="s">
        <v>10</v>
      </c>
      <c r="D15" s="2">
        <v>2</v>
      </c>
      <c r="E15" s="4">
        <v>2025</v>
      </c>
      <c r="F15" s="25">
        <v>1.472</v>
      </c>
      <c r="G15" s="2">
        <v>0.69</v>
      </c>
    </row>
    <row r="16" spans="1:7" x14ac:dyDescent="0.35">
      <c r="A16" s="1">
        <v>2025</v>
      </c>
      <c r="B16" s="1" t="s">
        <v>8</v>
      </c>
      <c r="C16" s="1" t="s">
        <v>11</v>
      </c>
      <c r="D16" s="1">
        <v>3</v>
      </c>
      <c r="E16" s="3">
        <v>2025</v>
      </c>
      <c r="F16" s="25">
        <v>1.3480000000000001</v>
      </c>
      <c r="G16" s="2">
        <v>0.69</v>
      </c>
    </row>
    <row r="17" spans="1:7" x14ac:dyDescent="0.35">
      <c r="A17" s="2">
        <v>2025</v>
      </c>
      <c r="B17" s="2" t="s">
        <v>12</v>
      </c>
      <c r="C17" s="2" t="s">
        <v>13</v>
      </c>
      <c r="D17" s="2">
        <v>4</v>
      </c>
      <c r="E17" s="4">
        <v>2025</v>
      </c>
      <c r="F17" s="25">
        <v>1.1910000000000001</v>
      </c>
      <c r="G17" s="2">
        <v>0.69</v>
      </c>
    </row>
    <row r="18" spans="1:7" x14ac:dyDescent="0.35">
      <c r="A18" s="1">
        <v>2025</v>
      </c>
      <c r="B18" s="1" t="s">
        <v>12</v>
      </c>
      <c r="C18" s="1" t="s">
        <v>23</v>
      </c>
      <c r="D18" s="1">
        <v>5</v>
      </c>
      <c r="E18" s="3">
        <v>2025</v>
      </c>
      <c r="F18" s="25">
        <v>1.159</v>
      </c>
      <c r="G18" s="2">
        <v>0.69</v>
      </c>
    </row>
    <row r="19" spans="1:7" x14ac:dyDescent="0.35">
      <c r="A19" s="2">
        <v>2025</v>
      </c>
      <c r="B19" s="2" t="s">
        <v>12</v>
      </c>
      <c r="C19" s="2" t="s">
        <v>14</v>
      </c>
      <c r="D19" s="2">
        <v>6</v>
      </c>
      <c r="E19" s="4">
        <v>2025</v>
      </c>
      <c r="F19" s="25">
        <v>1.1160000000000001</v>
      </c>
      <c r="G19" s="2">
        <v>0.69</v>
      </c>
    </row>
    <row r="20" spans="1:7" x14ac:dyDescent="0.35">
      <c r="A20" s="1">
        <v>2025</v>
      </c>
      <c r="B20" s="1" t="s">
        <v>15</v>
      </c>
      <c r="C20" s="1" t="s">
        <v>16</v>
      </c>
      <c r="D20" s="1">
        <v>7</v>
      </c>
      <c r="E20" s="3">
        <v>2025</v>
      </c>
      <c r="F20" s="25">
        <v>1.0740000000000001</v>
      </c>
      <c r="G20" s="2">
        <v>0.69</v>
      </c>
    </row>
    <row r="21" spans="1:7" x14ac:dyDescent="0.35">
      <c r="A21" s="2">
        <v>2025</v>
      </c>
      <c r="B21" s="2" t="s">
        <v>15</v>
      </c>
      <c r="C21" s="2" t="s">
        <v>17</v>
      </c>
      <c r="D21" s="2">
        <v>8</v>
      </c>
      <c r="E21" s="4">
        <v>2025</v>
      </c>
      <c r="F21" s="25">
        <v>1.054</v>
      </c>
      <c r="G21" s="2">
        <v>0.69</v>
      </c>
    </row>
    <row r="22" spans="1:7" x14ac:dyDescent="0.35">
      <c r="A22" s="1">
        <v>2025</v>
      </c>
      <c r="B22" s="1" t="s">
        <v>15</v>
      </c>
      <c r="C22" s="1" t="s">
        <v>18</v>
      </c>
      <c r="D22" s="1">
        <v>9</v>
      </c>
      <c r="E22" s="3">
        <v>2025</v>
      </c>
      <c r="F22" s="25">
        <v>1.0740000000000001</v>
      </c>
      <c r="G22" s="2">
        <v>0.69</v>
      </c>
    </row>
    <row r="23" spans="1:7" x14ac:dyDescent="0.35">
      <c r="A23" s="2">
        <v>2025</v>
      </c>
      <c r="B23" s="2" t="s">
        <v>19</v>
      </c>
      <c r="C23" s="2" t="s">
        <v>20</v>
      </c>
      <c r="D23" s="2">
        <v>10</v>
      </c>
      <c r="E23" s="4">
        <v>2025</v>
      </c>
      <c r="F23" s="25">
        <v>1.083</v>
      </c>
      <c r="G23" s="2">
        <v>0.69</v>
      </c>
    </row>
    <row r="24" spans="1:7" x14ac:dyDescent="0.35">
      <c r="A24" s="2">
        <v>2025</v>
      </c>
      <c r="B24" s="2" t="s">
        <v>19</v>
      </c>
      <c r="C24" s="2" t="s">
        <v>21</v>
      </c>
      <c r="D24" s="2">
        <v>11</v>
      </c>
      <c r="E24" s="4">
        <v>2025</v>
      </c>
      <c r="F24" s="25">
        <v>1.0640000000000001</v>
      </c>
      <c r="G24" s="2">
        <v>0.69</v>
      </c>
    </row>
    <row r="25" spans="1:7" x14ac:dyDescent="0.35">
      <c r="A25" s="2">
        <v>2025</v>
      </c>
      <c r="B25" s="2" t="s">
        <v>19</v>
      </c>
      <c r="C25" s="2" t="s">
        <v>22</v>
      </c>
      <c r="D25" s="2">
        <v>12</v>
      </c>
      <c r="E25" s="4">
        <v>2025</v>
      </c>
      <c r="F25" s="25">
        <v>1.0669999999999999</v>
      </c>
      <c r="G25" s="2">
        <v>0.69</v>
      </c>
    </row>
    <row r="26" spans="1:7" x14ac:dyDescent="0.35">
      <c r="A26" s="20">
        <v>2026</v>
      </c>
      <c r="B26" s="20" t="s">
        <v>8</v>
      </c>
      <c r="C26" s="20" t="s">
        <v>9</v>
      </c>
      <c r="D26" s="20">
        <v>1</v>
      </c>
      <c r="E26" s="20">
        <v>2026</v>
      </c>
      <c r="F26" s="20">
        <v>1.1639999999999999</v>
      </c>
      <c r="G26" s="2">
        <v>0.69</v>
      </c>
    </row>
    <row r="27" spans="1:7" x14ac:dyDescent="0.35">
      <c r="A27" s="21">
        <v>2026</v>
      </c>
      <c r="B27" s="21" t="s">
        <v>8</v>
      </c>
      <c r="C27" s="21" t="s">
        <v>10</v>
      </c>
      <c r="D27" s="21">
        <v>2</v>
      </c>
      <c r="E27" s="21">
        <v>2026</v>
      </c>
      <c r="F27" s="21">
        <v>1.1910000000000001</v>
      </c>
      <c r="G27" s="2">
        <v>0.69</v>
      </c>
    </row>
    <row r="28" spans="1:7" x14ac:dyDescent="0.35">
      <c r="A28" s="22">
        <v>2026</v>
      </c>
      <c r="B28" s="22" t="s">
        <v>8</v>
      </c>
      <c r="C28" s="22" t="s">
        <v>11</v>
      </c>
      <c r="D28" s="22">
        <v>3</v>
      </c>
      <c r="E28" s="23">
        <v>2026</v>
      </c>
      <c r="F28" s="22">
        <v>1.0960000000000001</v>
      </c>
      <c r="G28" s="2">
        <v>0.69</v>
      </c>
    </row>
    <row r="29" spans="1:7" x14ac:dyDescent="0.35">
      <c r="A29" s="2">
        <v>2026</v>
      </c>
      <c r="B29" s="2" t="s">
        <v>12</v>
      </c>
      <c r="C29" s="2" t="s">
        <v>13</v>
      </c>
      <c r="D29" s="2">
        <v>4</v>
      </c>
      <c r="E29" s="4">
        <v>2026</v>
      </c>
      <c r="F29" s="2">
        <v>1.0660000000000001</v>
      </c>
      <c r="G29" s="2">
        <v>0.69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EE29-C806-4771-8A6A-C1F423C5A280}">
  <dimension ref="A1:C19"/>
  <sheetViews>
    <sheetView tabSelected="1" workbookViewId="0">
      <selection activeCell="B20" sqref="B20"/>
    </sheetView>
  </sheetViews>
  <sheetFormatPr defaultColWidth="8.81640625" defaultRowHeight="14.5" x14ac:dyDescent="0.35"/>
  <cols>
    <col min="1" max="1" width="29.36328125" bestFit="1" customWidth="1"/>
    <col min="2" max="2" width="39.453125" bestFit="1" customWidth="1"/>
    <col min="3" max="3" width="90.1796875" bestFit="1" customWidth="1"/>
  </cols>
  <sheetData>
    <row r="1" spans="1:3" x14ac:dyDescent="0.35">
      <c r="A1" s="14" t="s">
        <v>30</v>
      </c>
      <c r="B1" s="14" t="s">
        <v>31</v>
      </c>
      <c r="C1" s="14" t="s">
        <v>32</v>
      </c>
    </row>
    <row r="2" spans="1:3" x14ac:dyDescent="0.35">
      <c r="A2" s="26" t="s">
        <v>33</v>
      </c>
      <c r="B2" s="15" t="s">
        <v>0</v>
      </c>
      <c r="C2" s="11" t="s">
        <v>34</v>
      </c>
    </row>
    <row r="3" spans="1:3" x14ac:dyDescent="0.35">
      <c r="A3" s="27"/>
      <c r="B3" s="16" t="s">
        <v>1</v>
      </c>
      <c r="C3" s="12" t="s">
        <v>35</v>
      </c>
    </row>
    <row r="4" spans="1:3" x14ac:dyDescent="0.35">
      <c r="A4" s="27"/>
      <c r="B4" s="16" t="s">
        <v>2</v>
      </c>
      <c r="C4" s="12" t="s">
        <v>36</v>
      </c>
    </row>
    <row r="5" spans="1:3" x14ac:dyDescent="0.35">
      <c r="A5" s="27"/>
      <c r="B5" s="16" t="s">
        <v>3</v>
      </c>
      <c r="C5" s="12" t="s">
        <v>37</v>
      </c>
    </row>
    <row r="6" spans="1:3" x14ac:dyDescent="0.35">
      <c r="A6" s="27"/>
      <c r="B6" s="17" t="s">
        <v>27</v>
      </c>
      <c r="C6" s="12" t="s">
        <v>34</v>
      </c>
    </row>
    <row r="7" spans="1:3" x14ac:dyDescent="0.35">
      <c r="A7" s="27"/>
      <c r="B7" s="18" t="s">
        <v>28</v>
      </c>
      <c r="C7" s="12" t="s">
        <v>38</v>
      </c>
    </row>
    <row r="8" spans="1:3" x14ac:dyDescent="0.35">
      <c r="A8" s="28" t="s">
        <v>39</v>
      </c>
      <c r="B8" s="15" t="s">
        <v>0</v>
      </c>
      <c r="C8" s="11" t="s">
        <v>34</v>
      </c>
    </row>
    <row r="9" spans="1:3" x14ac:dyDescent="0.35">
      <c r="A9" s="29"/>
      <c r="B9" s="16" t="s">
        <v>1</v>
      </c>
      <c r="C9" s="12" t="s">
        <v>35</v>
      </c>
    </row>
    <row r="10" spans="1:3" x14ac:dyDescent="0.35">
      <c r="A10" s="29"/>
      <c r="B10" s="16" t="s">
        <v>2</v>
      </c>
      <c r="C10" s="12" t="s">
        <v>36</v>
      </c>
    </row>
    <row r="11" spans="1:3" x14ac:dyDescent="0.35">
      <c r="A11" s="29"/>
      <c r="B11" s="16" t="s">
        <v>3</v>
      </c>
      <c r="C11" s="12" t="s">
        <v>37</v>
      </c>
    </row>
    <row r="12" spans="1:3" x14ac:dyDescent="0.35">
      <c r="A12" s="29"/>
      <c r="B12" s="16" t="s">
        <v>25</v>
      </c>
      <c r="C12" s="12" t="s">
        <v>40</v>
      </c>
    </row>
    <row r="13" spans="1:3" x14ac:dyDescent="0.35">
      <c r="A13" s="29"/>
      <c r="B13" s="18" t="s">
        <v>26</v>
      </c>
      <c r="C13" s="12" t="s">
        <v>41</v>
      </c>
    </row>
    <row r="14" spans="1:3" x14ac:dyDescent="0.35">
      <c r="A14" s="28" t="s">
        <v>42</v>
      </c>
      <c r="B14" s="15" t="s">
        <v>0</v>
      </c>
      <c r="C14" s="11" t="s">
        <v>34</v>
      </c>
    </row>
    <row r="15" spans="1:3" x14ac:dyDescent="0.35">
      <c r="A15" s="29"/>
      <c r="B15" s="16" t="s">
        <v>1</v>
      </c>
      <c r="C15" s="12" t="s">
        <v>35</v>
      </c>
    </row>
    <row r="16" spans="1:3" x14ac:dyDescent="0.35">
      <c r="A16" s="29"/>
      <c r="B16" s="16" t="s">
        <v>2</v>
      </c>
      <c r="C16" s="12" t="s">
        <v>36</v>
      </c>
    </row>
    <row r="17" spans="1:3" x14ac:dyDescent="0.35">
      <c r="A17" s="29"/>
      <c r="B17" s="16" t="s">
        <v>3</v>
      </c>
      <c r="C17" s="12" t="s">
        <v>37</v>
      </c>
    </row>
    <row r="18" spans="1:3" x14ac:dyDescent="0.35">
      <c r="A18" s="29"/>
      <c r="B18" s="16" t="s">
        <v>4</v>
      </c>
      <c r="C18" s="12" t="s">
        <v>43</v>
      </c>
    </row>
    <row r="19" spans="1:3" x14ac:dyDescent="0.35">
      <c r="A19" s="30"/>
      <c r="B19" s="19" t="s">
        <v>5</v>
      </c>
      <c r="C19" s="13" t="s">
        <v>44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C595B995633418A9A233A7DD3534F" ma:contentTypeVersion="14" ma:contentTypeDescription="Create a new document." ma:contentTypeScope="" ma:versionID="1629df660755ba84e514c1515c8c7e32">
  <xsd:schema xmlns:xsd="http://www.w3.org/2001/XMLSchema" xmlns:xs="http://www.w3.org/2001/XMLSchema" xmlns:p="http://schemas.microsoft.com/office/2006/metadata/properties" xmlns:ns3="69d3e898-27e9-4447-a155-1fe6608dbd92" xmlns:ns4="eb586abc-8b42-421a-8c99-49736dda6325" targetNamespace="http://schemas.microsoft.com/office/2006/metadata/properties" ma:root="true" ma:fieldsID="96eae2699747c231f8082a72e2e35535" ns3:_="" ns4:_="">
    <xsd:import namespace="69d3e898-27e9-4447-a155-1fe6608dbd92"/>
    <xsd:import namespace="eb586abc-8b42-421a-8c99-49736dda63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3e898-27e9-4447-a155-1fe6608db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86abc-8b42-421a-8c99-49736dda6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d3e898-27e9-4447-a155-1fe6608dbd92" xsi:nil="true"/>
  </documentManagement>
</p:properties>
</file>

<file path=customXml/itemProps1.xml><?xml version="1.0" encoding="utf-8"?>
<ds:datastoreItem xmlns:ds="http://schemas.openxmlformats.org/officeDocument/2006/customXml" ds:itemID="{DDE7BC87-145B-4117-9661-7F4F37695B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CFF00E-2BCA-4EB6-B7E9-A847B04D8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d3e898-27e9-4447-a155-1fe6608dbd92"/>
    <ds:schemaRef ds:uri="eb586abc-8b42-421a-8c99-49736dda63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2DAD9F-DF26-4F83-9F03-5B7A04F00244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eb586abc-8b42-421a-8c99-49736dda6325"/>
    <ds:schemaRef ds:uri="69d3e898-27e9-4447-a155-1fe6608dbd9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Injuries</vt:lpstr>
      <vt:lpstr>Employee Occurrences</vt:lpstr>
      <vt:lpstr>Preventable Collision Frequency</vt:lpstr>
      <vt:lpstr>Data Dictionary</vt:lpstr>
    </vt:vector>
  </TitlesOfParts>
  <Manager/>
  <Company>City of Ottawa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Capern, Andrew</dc:creator>
  <cp:keywords/>
  <dc:description/>
  <cp:lastModifiedBy>Ben Dick</cp:lastModifiedBy>
  <cp:revision/>
  <dcterms:created xsi:type="dcterms:W3CDTF">2025-07-25T13:13:22Z</dcterms:created>
  <dcterms:modified xsi:type="dcterms:W3CDTF">2026-06-01T14:15:50Z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0x010100B26C595B995633418A9A233A7DD3534F</vt:lpwstr>
  </property>
</Properties>
</file>